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"/>
    </mc:Choice>
  </mc:AlternateContent>
  <xr:revisionPtr revIDLastSave="0" documentId="13_ncr:1_{C9029BD5-3D35-46CA-851A-0BC01A5234D3}" xr6:coauthVersionLast="47" xr6:coauthVersionMax="47" xr10:uidLastSave="{00000000-0000-0000-0000-000000000000}"/>
  <bookViews>
    <workbookView xWindow="13635" yWindow="0" windowWidth="14160" windowHeight="15480" firstSheet="2" activeTab="5" xr2:uid="{00000000-000D-0000-FFFF-FFFF00000000}"/>
  </bookViews>
  <sheets>
    <sheet name="ホーム画面" sheetId="1" r:id="rId1"/>
    <sheet name="支出入力" sheetId="3" r:id="rId2"/>
    <sheet name="収入入力" sheetId="2" r:id="rId3"/>
    <sheet name="カテゴリ別支出" sheetId="4" r:id="rId4"/>
    <sheet name="入出グラフ" sheetId="5" r:id="rId5"/>
    <sheet name="個別収支画面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F4" i="5"/>
  <c r="G4" i="5"/>
  <c r="H4" i="5"/>
  <c r="I4" i="5"/>
  <c r="J4" i="5"/>
  <c r="K4" i="5"/>
  <c r="L4" i="5"/>
  <c r="M4" i="5"/>
  <c r="C4" i="5"/>
  <c r="D4" i="5" s="1"/>
  <c r="M4" i="4"/>
</calcChain>
</file>

<file path=xl/sharedStrings.xml><?xml version="1.0" encoding="utf-8"?>
<sst xmlns="http://schemas.openxmlformats.org/spreadsheetml/2006/main" count="83" uniqueCount="63">
  <si>
    <t>家計簿アプリ</t>
    <rPh sb="0" eb="3">
      <t>カケイボ</t>
    </rPh>
    <phoneticPr fontId="2"/>
  </si>
  <si>
    <t>日付</t>
    <rPh sb="0" eb="2">
      <t>ヒヅケ</t>
    </rPh>
    <phoneticPr fontId="2"/>
  </si>
  <si>
    <t>カテゴリ</t>
    <phoneticPr fontId="2"/>
  </si>
  <si>
    <t>金額</t>
    <rPh sb="0" eb="2">
      <t>キンガク</t>
    </rPh>
    <phoneticPr fontId="2"/>
  </si>
  <si>
    <t>4/4</t>
    <phoneticPr fontId="2"/>
  </si>
  <si>
    <t>食費</t>
    <rPh sb="0" eb="2">
      <t>ショクヒ</t>
    </rPh>
    <phoneticPr fontId="2"/>
  </si>
  <si>
    <t>メモ</t>
    <phoneticPr fontId="2"/>
  </si>
  <si>
    <t>電気ガス</t>
    <rPh sb="0" eb="2">
      <t>デンキ</t>
    </rPh>
    <phoneticPr fontId="2"/>
  </si>
  <si>
    <t>収入</t>
    <rPh sb="0" eb="2">
      <t>シュウニュウ</t>
    </rPh>
    <phoneticPr fontId="2"/>
  </si>
  <si>
    <t>ホーム</t>
    <phoneticPr fontId="2"/>
  </si>
  <si>
    <t>収入画面</t>
    <rPh sb="0" eb="2">
      <t>シュウニュウ</t>
    </rPh>
    <rPh sb="2" eb="4">
      <t>ガメン</t>
    </rPh>
    <phoneticPr fontId="2"/>
  </si>
  <si>
    <t>今月収入：</t>
    <rPh sb="0" eb="2">
      <t>コンゲツ</t>
    </rPh>
    <rPh sb="2" eb="4">
      <t>シュウニュウ</t>
    </rPh>
    <phoneticPr fontId="2"/>
  </si>
  <si>
    <t>今月支出：</t>
    <rPh sb="0" eb="2">
      <t>コンゲツ</t>
    </rPh>
    <rPh sb="2" eb="4">
      <t>シシュツ</t>
    </rPh>
    <phoneticPr fontId="2"/>
  </si>
  <si>
    <t>次の給料日：</t>
    <rPh sb="0" eb="1">
      <t>ツギ</t>
    </rPh>
    <rPh sb="2" eb="5">
      <t>キュウリョウビ</t>
    </rPh>
    <phoneticPr fontId="2"/>
  </si>
  <si>
    <t>今月収入/支出比</t>
    <rPh sb="0" eb="2">
      <t>コンゲツ</t>
    </rPh>
    <rPh sb="2" eb="4">
      <t>シュウニュウ</t>
    </rPh>
    <rPh sb="5" eb="7">
      <t>シシュツ</t>
    </rPh>
    <rPh sb="7" eb="8">
      <t>ヒ</t>
    </rPh>
    <phoneticPr fontId="2"/>
  </si>
  <si>
    <t>残額</t>
    <rPh sb="0" eb="2">
      <t>ザンガク</t>
    </rPh>
    <phoneticPr fontId="2"/>
  </si>
  <si>
    <t>インフラ</t>
    <phoneticPr fontId="2"/>
  </si>
  <si>
    <t>雑貨</t>
    <rPh sb="0" eb="2">
      <t>ザッカ</t>
    </rPh>
    <phoneticPr fontId="2"/>
  </si>
  <si>
    <t>年金</t>
    <rPh sb="0" eb="2">
      <t>ネンキン</t>
    </rPh>
    <phoneticPr fontId="2"/>
  </si>
  <si>
    <t>送金</t>
    <rPh sb="0" eb="2">
      <t>ソウキン</t>
    </rPh>
    <phoneticPr fontId="2"/>
  </si>
  <si>
    <t>遊興費</t>
    <rPh sb="0" eb="3">
      <t>ユウキョウヒ</t>
    </rPh>
    <phoneticPr fontId="2"/>
  </si>
  <si>
    <t>その他分類不能</t>
    <rPh sb="2" eb="3">
      <t>ホカ</t>
    </rPh>
    <rPh sb="3" eb="5">
      <t>ブンルイ</t>
    </rPh>
    <rPh sb="5" eb="7">
      <t>フノウ</t>
    </rPh>
    <phoneticPr fontId="2"/>
  </si>
  <si>
    <t>←先月へ</t>
    <rPh sb="1" eb="3">
      <t>センゲツ</t>
    </rPh>
    <phoneticPr fontId="2"/>
  </si>
  <si>
    <t>月ごとのカテゴリ別支出</t>
    <rPh sb="0" eb="1">
      <t>ツキ</t>
    </rPh>
    <rPh sb="8" eb="9">
      <t>ベツ</t>
    </rPh>
    <rPh sb="9" eb="11">
      <t>シシュツ</t>
    </rPh>
    <phoneticPr fontId="2"/>
  </si>
  <si>
    <t>月</t>
    <rPh sb="0" eb="1">
      <t>ツキ</t>
    </rPh>
    <phoneticPr fontId="2"/>
  </si>
  <si>
    <t>年</t>
    <rPh sb="0" eb="1">
      <t>ネン</t>
    </rPh>
    <phoneticPr fontId="2"/>
  </si>
  <si>
    <t>日</t>
    <rPh sb="0" eb="1">
      <t>ニチ</t>
    </rPh>
    <phoneticPr fontId="2"/>
  </si>
  <si>
    <t>入力確定</t>
    <rPh sb="0" eb="2">
      <t>ニュウリョク</t>
    </rPh>
    <rPh sb="2" eb="4">
      <t>カクテイ</t>
    </rPh>
    <phoneticPr fontId="2"/>
  </si>
  <si>
    <t>食費　4470</t>
    <rPh sb="0" eb="2">
      <t>ショクヒ</t>
    </rPh>
    <phoneticPr fontId="2"/>
  </si>
  <si>
    <t>メモ：卵は一週間以内に</t>
    <rPh sb="3" eb="4">
      <t>タマゴ</t>
    </rPh>
    <rPh sb="5" eb="8">
      <t>イッシュウカン</t>
    </rPh>
    <rPh sb="8" eb="10">
      <t>イナイ</t>
    </rPh>
    <phoneticPr fontId="2"/>
  </si>
  <si>
    <t>4/6</t>
    <phoneticPr fontId="2"/>
  </si>
  <si>
    <t>4/11</t>
    <phoneticPr fontId="2"/>
  </si>
  <si>
    <t>給料　162000</t>
    <rPh sb="0" eb="2">
      <t>キュウリョウ</t>
    </rPh>
    <phoneticPr fontId="2"/>
  </si>
  <si>
    <t>　　　▼</t>
    <phoneticPr fontId="2"/>
  </si>
  <si>
    <t>雑貨　6850</t>
    <rPh sb="0" eb="2">
      <t>ザッカ</t>
    </rPh>
    <phoneticPr fontId="2"/>
  </si>
  <si>
    <t>メモ：ゲーム</t>
    <phoneticPr fontId="2"/>
  </si>
  <si>
    <t>今月目標貯金：</t>
    <rPh sb="0" eb="2">
      <t>コンゲツ</t>
    </rPh>
    <rPh sb="2" eb="4">
      <t>モクヒョウ</t>
    </rPh>
    <rPh sb="4" eb="6">
      <t>チョキン</t>
    </rPh>
    <phoneticPr fontId="2"/>
  </si>
  <si>
    <t>可用残額：</t>
    <rPh sb="0" eb="1">
      <t>カ</t>
    </rPh>
    <rPh sb="1" eb="2">
      <t>ヨウ</t>
    </rPh>
    <rPh sb="2" eb="4">
      <t>ザンガク</t>
    </rPh>
    <phoneticPr fontId="2"/>
  </si>
  <si>
    <t>繰り越し金</t>
    <rPh sb="0" eb="1">
      <t>ク</t>
    </rPh>
    <rPh sb="2" eb="3">
      <t>コ</t>
    </rPh>
    <rPh sb="4" eb="5">
      <t>キン</t>
    </rPh>
    <phoneticPr fontId="2"/>
  </si>
  <si>
    <t>ナス3本・人参3本・キャベツ半玉</t>
    <rPh sb="3" eb="4">
      <t>ボン</t>
    </rPh>
    <rPh sb="5" eb="7">
      <t>ニンジン</t>
    </rPh>
    <rPh sb="8" eb="9">
      <t>ボン</t>
    </rPh>
    <rPh sb="14" eb="16">
      <t>ハンタマ</t>
    </rPh>
    <phoneticPr fontId="2"/>
  </si>
  <si>
    <t>個別収支閲覧・編集・削除画面</t>
    <rPh sb="0" eb="2">
      <t>コベツ</t>
    </rPh>
    <rPh sb="2" eb="4">
      <t>シュウシ</t>
    </rPh>
    <rPh sb="4" eb="6">
      <t>エツラン</t>
    </rPh>
    <rPh sb="7" eb="9">
      <t>ヘンシュウ</t>
    </rPh>
    <rPh sb="10" eb="12">
      <t>サクジョ</t>
    </rPh>
    <rPh sb="12" eb="14">
      <t>ガメン</t>
    </rPh>
    <phoneticPr fontId="2"/>
  </si>
  <si>
    <t>編集</t>
    <rPh sb="0" eb="2">
      <t>ヘンシュウ</t>
    </rPh>
    <phoneticPr fontId="2"/>
  </si>
  <si>
    <t>削除</t>
    <rPh sb="0" eb="2">
      <t>サクジョ</t>
    </rPh>
    <phoneticPr fontId="2"/>
  </si>
  <si>
    <t>ほめる！</t>
    <phoneticPr fontId="2"/>
  </si>
  <si>
    <t>❤️</t>
    <phoneticPr fontId="2"/>
  </si>
  <si>
    <t>がんばった！：</t>
    <phoneticPr fontId="2"/>
  </si>
  <si>
    <t>一か月の収入</t>
    <rPh sb="0" eb="1">
      <t>イッ</t>
    </rPh>
    <rPh sb="2" eb="3">
      <t>ゲツ</t>
    </rPh>
    <rPh sb="4" eb="6">
      <t>シュウニュウ</t>
    </rPh>
    <phoneticPr fontId="2"/>
  </si>
  <si>
    <t>一か月の支出</t>
    <rPh sb="0" eb="1">
      <t>イッ</t>
    </rPh>
    <rPh sb="2" eb="3">
      <t>ゲツ</t>
    </rPh>
    <rPh sb="4" eb="6">
      <t>シシュツ</t>
    </rPh>
    <phoneticPr fontId="2"/>
  </si>
  <si>
    <t>一か月の収支グラフ</t>
    <rPh sb="0" eb="1">
      <t>イッ</t>
    </rPh>
    <rPh sb="2" eb="3">
      <t>ゲツ</t>
    </rPh>
    <rPh sb="4" eb="6">
      <t>シュウシ</t>
    </rPh>
    <phoneticPr fontId="2"/>
  </si>
  <si>
    <t>半年の収支グラフ</t>
    <rPh sb="0" eb="2">
      <t>ハントシ</t>
    </rPh>
    <rPh sb="3" eb="5">
      <t>シュウシ</t>
    </rPh>
    <phoneticPr fontId="2"/>
  </si>
  <si>
    <t>全収入</t>
    <rPh sb="0" eb="1">
      <t>ゼン</t>
    </rPh>
    <rPh sb="1" eb="3">
      <t>シュウニュウ</t>
    </rPh>
    <phoneticPr fontId="2"/>
  </si>
  <si>
    <t>全支出</t>
    <rPh sb="0" eb="1">
      <t>ゼン</t>
    </rPh>
    <rPh sb="1" eb="3">
      <t>シシュツ</t>
    </rPh>
    <phoneticPr fontId="2"/>
  </si>
  <si>
    <t>❤️❤️❤️</t>
    <phoneticPr fontId="2"/>
  </si>
  <si>
    <t>昔の月の支出</t>
    <rPh sb="0" eb="1">
      <t>ムカシ</t>
    </rPh>
    <rPh sb="2" eb="3">
      <t>ツキ</t>
    </rPh>
    <rPh sb="4" eb="6">
      <t>シシュツ</t>
    </rPh>
    <phoneticPr fontId="2"/>
  </si>
  <si>
    <t>昔の月の収入</t>
    <rPh sb="0" eb="1">
      <t>ムカシ</t>
    </rPh>
    <rPh sb="2" eb="3">
      <t>ツキ</t>
    </rPh>
    <rPh sb="4" eb="6">
      <t>シュウニュウ</t>
    </rPh>
    <phoneticPr fontId="2"/>
  </si>
  <si>
    <t>カテゴリ別収支一覧</t>
    <rPh sb="4" eb="5">
      <t>ベツ</t>
    </rPh>
    <rPh sb="5" eb="7">
      <t>シュウシ</t>
    </rPh>
    <rPh sb="7" eb="9">
      <t>イチラン</t>
    </rPh>
    <phoneticPr fontId="2"/>
  </si>
  <si>
    <t>カテゴリグラフ</t>
    <phoneticPr fontId="2"/>
  </si>
  <si>
    <t>戻る</t>
    <rPh sb="0" eb="1">
      <t>モド</t>
    </rPh>
    <phoneticPr fontId="2"/>
  </si>
  <si>
    <t>前の月</t>
    <rPh sb="0" eb="1">
      <t>マエ</t>
    </rPh>
    <rPh sb="2" eb="3">
      <t>ツキ</t>
    </rPh>
    <phoneticPr fontId="2"/>
  </si>
  <si>
    <t>次の月</t>
    <rPh sb="0" eb="1">
      <t>ツギ</t>
    </rPh>
    <rPh sb="2" eb="3">
      <t>ツキ</t>
    </rPh>
    <phoneticPr fontId="2"/>
  </si>
  <si>
    <t>当月がんばった数：</t>
    <rPh sb="0" eb="2">
      <t>トウガツ</t>
    </rPh>
    <rPh sb="7" eb="8">
      <t>カズ</t>
    </rPh>
    <phoneticPr fontId="2"/>
  </si>
  <si>
    <t>＋</t>
    <phoneticPr fontId="2"/>
  </si>
  <si>
    <t>支出</t>
    <rPh sb="0" eb="2">
      <t>シシュツ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</si>
</sst>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8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B0F0"/>
      <name val="Yu Gothic"/>
      <family val="2"/>
      <scheme val="minor"/>
    </font>
    <font>
      <u/>
      <sz val="11"/>
      <color theme="1"/>
      <name val="Yu Gothic"/>
      <family val="2"/>
      <scheme val="minor"/>
    </font>
    <font>
      <sz val="11"/>
      <color theme="1"/>
      <name val="Segoe UI Emoji"/>
      <family val="2"/>
    </font>
    <font>
      <sz val="11"/>
      <name val="Yu Gothic"/>
      <family val="2"/>
      <scheme val="minor"/>
    </font>
    <font>
      <sz val="18"/>
      <name val="Yu Gothic"/>
      <family val="2"/>
      <scheme val="minor"/>
    </font>
    <font>
      <sz val="11"/>
      <name val="Segoe UI Emoj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5" borderId="0" xfId="0" applyNumberFormat="1" applyFill="1"/>
    <xf numFmtId="49" fontId="0" fillId="6" borderId="5" xfId="0" applyNumberFormat="1" applyFill="1" applyBorder="1"/>
    <xf numFmtId="49" fontId="0" fillId="6" borderId="6" xfId="0" applyNumberFormat="1" applyFill="1" applyBorder="1"/>
    <xf numFmtId="49" fontId="0" fillId="6" borderId="7" xfId="0" applyNumberFormat="1" applyFill="1" applyBorder="1"/>
    <xf numFmtId="49" fontId="0" fillId="6" borderId="8" xfId="0" applyNumberFormat="1" applyFill="1" applyBorder="1"/>
    <xf numFmtId="49" fontId="0" fillId="6" borderId="0" xfId="0" applyNumberFormat="1" applyFill="1"/>
    <xf numFmtId="49" fontId="0" fillId="6" borderId="9" xfId="0" applyNumberFormat="1" applyFill="1" applyBorder="1"/>
    <xf numFmtId="49" fontId="0" fillId="6" borderId="10" xfId="0" applyNumberFormat="1" applyFill="1" applyBorder="1"/>
    <xf numFmtId="49" fontId="0" fillId="6" borderId="11" xfId="0" applyNumberFormat="1" applyFill="1" applyBorder="1"/>
    <xf numFmtId="49" fontId="0" fillId="6" borderId="12" xfId="0" applyNumberFormat="1" applyFill="1" applyBorder="1"/>
    <xf numFmtId="49" fontId="0" fillId="4" borderId="5" xfId="0" applyNumberFormat="1" applyFill="1" applyBorder="1"/>
    <xf numFmtId="49" fontId="0" fillId="4" borderId="7" xfId="0" applyNumberFormat="1" applyFill="1" applyBorder="1"/>
    <xf numFmtId="49" fontId="0" fillId="4" borderId="8" xfId="0" applyNumberFormat="1" applyFill="1" applyBorder="1"/>
    <xf numFmtId="49" fontId="0" fillId="4" borderId="0" xfId="0" applyNumberFormat="1" applyFill="1"/>
    <xf numFmtId="49" fontId="0" fillId="4" borderId="9" xfId="0" applyNumberFormat="1" applyFill="1" applyBorder="1"/>
    <xf numFmtId="49" fontId="0" fillId="4" borderId="10" xfId="0" applyNumberFormat="1" applyFill="1" applyBorder="1"/>
    <xf numFmtId="49" fontId="0" fillId="4" borderId="11" xfId="0" applyNumberFormat="1" applyFill="1" applyBorder="1"/>
    <xf numFmtId="49" fontId="0" fillId="4" borderId="12" xfId="0" applyNumberFormat="1" applyFill="1" applyBorder="1"/>
    <xf numFmtId="49" fontId="3" fillId="5" borderId="0" xfId="0" applyNumberFormat="1" applyFont="1" applyFill="1"/>
    <xf numFmtId="56" fontId="0" fillId="0" borderId="0" xfId="0" applyNumberFormat="1"/>
    <xf numFmtId="14" fontId="4" fillId="0" borderId="0" xfId="0" applyNumberFormat="1" applyFont="1"/>
    <xf numFmtId="14" fontId="1" fillId="0" borderId="0" xfId="0" applyNumberFormat="1" applyFont="1"/>
    <xf numFmtId="0" fontId="0" fillId="7" borderId="0" xfId="0" applyFill="1"/>
    <xf numFmtId="0" fontId="5" fillId="0" borderId="0" xfId="0" applyFont="1"/>
    <xf numFmtId="49" fontId="5" fillId="0" borderId="1" xfId="0" applyNumberFormat="1" applyFont="1" applyBorder="1"/>
    <xf numFmtId="49" fontId="0" fillId="0" borderId="3" xfId="0" applyNumberFormat="1" applyBorder="1"/>
    <xf numFmtId="49" fontId="0" fillId="0" borderId="4" xfId="0" applyNumberFormat="1" applyBorder="1"/>
    <xf numFmtId="49" fontId="5" fillId="4" borderId="6" xfId="0" applyNumberFormat="1" applyFont="1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5" fillId="2" borderId="0" xfId="0" applyFont="1" applyFill="1"/>
    <xf numFmtId="0" fontId="6" fillId="4" borderId="0" xfId="0" applyFont="1" applyFill="1"/>
    <xf numFmtId="0" fontId="7" fillId="4" borderId="0" xfId="0" applyFont="1" applyFill="1"/>
    <xf numFmtId="0" fontId="6" fillId="4" borderId="2" xfId="0" applyFont="1" applyFill="1" applyBorder="1"/>
    <xf numFmtId="0" fontId="6" fillId="4" borderId="3" xfId="0" applyFont="1" applyFill="1" applyBorder="1"/>
    <xf numFmtId="0" fontId="6" fillId="4" borderId="4" xfId="0" applyFont="1" applyFill="1" applyBorder="1"/>
    <xf numFmtId="0" fontId="6" fillId="4" borderId="1" xfId="0" applyFont="1" applyFill="1" applyBorder="1"/>
    <xf numFmtId="0" fontId="8" fillId="4" borderId="0" xfId="0" applyFont="1" applyFill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8" borderId="0" xfId="0" applyNumberFormat="1" applyFill="1"/>
    <xf numFmtId="49" fontId="0" fillId="0" borderId="0" xfId="0" applyNumberFormat="1" applyAlignment="1">
      <alignment wrapText="1"/>
    </xf>
    <xf numFmtId="49" fontId="0" fillId="9" borderId="0" xfId="0" applyNumberFormat="1" applyFill="1"/>
    <xf numFmtId="0" fontId="0" fillId="2" borderId="0" xfId="0" applyFill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horizontal="right"/>
    </xf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A0-4C74-8591-4A7CF93480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A0-4C74-8591-4A7CF93480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A0-4C74-8591-4A7CF93480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A0-4C74-8591-4A7CF93480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A0-4C74-8591-4A7CF93480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A0-4C74-8591-4A7CF93480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A0-4C74-8591-4A7CF93480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A0-4C74-8591-4A7CF93480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0A0-4C74-8591-4A7CF9348043}"/>
              </c:ext>
            </c:extLst>
          </c:dPt>
          <c:cat>
            <c:strRef>
              <c:f>カテゴリ別支出!$E$3:$M$3</c:f>
              <c:strCache>
                <c:ptCount val="9"/>
                <c:pt idx="0">
                  <c:v>食費</c:v>
                </c:pt>
                <c:pt idx="1">
                  <c:v>電気ガス</c:v>
                </c:pt>
                <c:pt idx="2">
                  <c:v>インフラ</c:v>
                </c:pt>
                <c:pt idx="3">
                  <c:v>雑貨</c:v>
                </c:pt>
                <c:pt idx="4">
                  <c:v>年金</c:v>
                </c:pt>
                <c:pt idx="5">
                  <c:v>送金</c:v>
                </c:pt>
                <c:pt idx="6">
                  <c:v>遊興費</c:v>
                </c:pt>
                <c:pt idx="7">
                  <c:v>その他分類不能</c:v>
                </c:pt>
                <c:pt idx="8">
                  <c:v>残額</c:v>
                </c:pt>
              </c:strCache>
            </c:strRef>
          </c:cat>
          <c:val>
            <c:numRef>
              <c:f>カテゴリ別支出!$E$4:$M$4</c:f>
              <c:numCache>
                <c:formatCode>General</c:formatCode>
                <c:ptCount val="9"/>
                <c:pt idx="0">
                  <c:v>25000</c:v>
                </c:pt>
                <c:pt idx="1">
                  <c:v>8500</c:v>
                </c:pt>
                <c:pt idx="2">
                  <c:v>10000</c:v>
                </c:pt>
                <c:pt idx="3">
                  <c:v>6000</c:v>
                </c:pt>
                <c:pt idx="4">
                  <c:v>23000</c:v>
                </c:pt>
                <c:pt idx="5">
                  <c:v>30000</c:v>
                </c:pt>
                <c:pt idx="6">
                  <c:v>10000</c:v>
                </c:pt>
                <c:pt idx="7">
                  <c:v>0</c:v>
                </c:pt>
                <c:pt idx="8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F-491C-AF22-36D6E4FB4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残額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入出グラフ!$B$4:$M$4</c:f>
              <c:numCache>
                <c:formatCode>General</c:formatCode>
                <c:ptCount val="12"/>
                <c:pt idx="0">
                  <c:v>25000</c:v>
                </c:pt>
                <c:pt idx="1">
                  <c:v>24800</c:v>
                </c:pt>
                <c:pt idx="2">
                  <c:v>20330</c:v>
                </c:pt>
                <c:pt idx="3">
                  <c:v>27180</c:v>
                </c:pt>
                <c:pt idx="4">
                  <c:v>187180</c:v>
                </c:pt>
                <c:pt idx="5">
                  <c:v>180980</c:v>
                </c:pt>
                <c:pt idx="6">
                  <c:v>179680</c:v>
                </c:pt>
                <c:pt idx="7">
                  <c:v>149680</c:v>
                </c:pt>
                <c:pt idx="8">
                  <c:v>148280</c:v>
                </c:pt>
                <c:pt idx="9">
                  <c:v>142480</c:v>
                </c:pt>
                <c:pt idx="10">
                  <c:v>119480</c:v>
                </c:pt>
                <c:pt idx="11">
                  <c:v>105480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7-4B3D-BEC9-C7A2C272C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8956911"/>
        <c:axId val="1628950671"/>
      </c:lineChart>
      <c:catAx>
        <c:axId val="162895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8950671"/>
        <c:crosses val="autoZero"/>
        <c:auto val="1"/>
        <c:lblAlgn val="ctr"/>
        <c:lblOffset val="100"/>
        <c:noMultiLvlLbl val="0"/>
      </c:catAx>
      <c:valAx>
        <c:axId val="162895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895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33336</xdr:colOff>
      <xdr:row>4</xdr:row>
      <xdr:rowOff>176211</xdr:rowOff>
    </xdr:from>
    <xdr:to>
      <xdr:col>12</xdr:col>
      <xdr:colOff>476249</xdr:colOff>
      <xdr:row>21</xdr:row>
      <xdr:rowOff>57149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36D1E66-A389-CCAC-72C5-0C3EEAA9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357187</xdr:colOff>
      <xdr:row>5</xdr:row>
      <xdr:rowOff>166687</xdr:rowOff>
    </xdr:from>
    <xdr:to>
      <xdr:col>10</xdr:col>
      <xdr:colOff>128587</xdr:colOff>
      <xdr:row>17</xdr:row>
      <xdr:rowOff>52387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EF5C31-5DC4-FA85-0BDE-F2A7A6050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workbookViewId="0">
      <selection activeCell="L9" sqref="L9"/>
    </sheetView>
  </sheetViews>
  <sheetFormatPr defaultRowHeight="18.75"/>
  <cols>
    <col min="1" max="2" width="9" style="3"/>
    <col min="3" max="3" width="9" style="3" customWidth="1"/>
    <col min="4" max="5" width="9" style="3"/>
    <col min="6" max="6" width="3.25" style="3" customWidth="1"/>
    <col min="7" max="9" width="9" style="3"/>
    <col min="10" max="10" width="4.125" style="3" customWidth="1"/>
    <col min="11" max="13" width="9" style="3"/>
    <col min="14" max="14" width="3.875" style="3" customWidth="1"/>
    <col min="15" max="16384" width="9" style="3"/>
  </cols>
  <sheetData>
    <row r="1" spans="1:14" ht="30">
      <c r="A1" s="5"/>
      <c r="B1" s="5"/>
      <c r="C1" s="2" t="s">
        <v>0</v>
      </c>
    </row>
    <row r="2" spans="1:14">
      <c r="A2" s="5"/>
      <c r="B2" s="5"/>
    </row>
    <row r="3" spans="1:14">
      <c r="A3" s="5"/>
      <c r="B3" s="5"/>
      <c r="C3" s="4" t="s">
        <v>22</v>
      </c>
      <c r="G3" s="3" t="s">
        <v>60</v>
      </c>
      <c r="J3" s="30" t="s">
        <v>52</v>
      </c>
      <c r="K3" s="31"/>
      <c r="L3" s="32"/>
    </row>
    <row r="4" spans="1:14">
      <c r="A4" s="5" t="s">
        <v>9</v>
      </c>
      <c r="B4" s="5"/>
    </row>
    <row r="5" spans="1:14">
      <c r="A5" s="5" t="s">
        <v>46</v>
      </c>
      <c r="B5" s="5"/>
      <c r="D5" s="3" t="s">
        <v>11</v>
      </c>
      <c r="F5" s="6"/>
      <c r="G5" s="3" t="s">
        <v>12</v>
      </c>
      <c r="I5" s="6"/>
      <c r="J5" s="3" t="s">
        <v>13</v>
      </c>
      <c r="L5" s="6"/>
      <c r="N5" s="50"/>
    </row>
    <row r="6" spans="1:14">
      <c r="A6" s="5" t="s">
        <v>47</v>
      </c>
      <c r="B6" s="5"/>
    </row>
    <row r="7" spans="1:14">
      <c r="A7" s="5" t="s">
        <v>48</v>
      </c>
      <c r="B7" s="5"/>
      <c r="D7" s="3" t="s">
        <v>14</v>
      </c>
      <c r="F7" s="6"/>
      <c r="G7" s="3" t="s">
        <v>36</v>
      </c>
      <c r="I7" s="6"/>
      <c r="J7" s="3" t="s">
        <v>37</v>
      </c>
      <c r="L7" s="24"/>
    </row>
    <row r="8" spans="1:14">
      <c r="A8" s="5" t="s">
        <v>49</v>
      </c>
      <c r="B8" s="5"/>
    </row>
    <row r="9" spans="1:14">
      <c r="A9" s="5"/>
      <c r="B9" s="5"/>
      <c r="E9" s="49" t="s">
        <v>58</v>
      </c>
      <c r="I9" s="49" t="s">
        <v>59</v>
      </c>
      <c r="L9" s="51" t="s">
        <v>61</v>
      </c>
    </row>
    <row r="10" spans="1:14">
      <c r="A10" s="5" t="s">
        <v>54</v>
      </c>
      <c r="B10" s="5"/>
    </row>
    <row r="11" spans="1:14">
      <c r="A11" s="5" t="s">
        <v>53</v>
      </c>
      <c r="B11" s="5"/>
    </row>
    <row r="12" spans="1:14">
      <c r="A12" s="5" t="s">
        <v>50</v>
      </c>
      <c r="B12" s="5"/>
      <c r="C12" s="7" t="s">
        <v>4</v>
      </c>
      <c r="D12" s="8"/>
      <c r="E12" s="9"/>
      <c r="G12" s="7" t="s">
        <v>30</v>
      </c>
      <c r="H12" s="8"/>
      <c r="I12" s="9"/>
      <c r="K12" s="7"/>
      <c r="L12" s="8"/>
      <c r="M12" s="9"/>
    </row>
    <row r="13" spans="1:14">
      <c r="A13" s="5" t="s">
        <v>51</v>
      </c>
      <c r="B13" s="5"/>
      <c r="C13" s="10" t="s">
        <v>28</v>
      </c>
      <c r="D13" s="11"/>
      <c r="E13" s="12"/>
      <c r="G13" s="10" t="s">
        <v>34</v>
      </c>
      <c r="H13" s="11"/>
      <c r="I13" s="12"/>
      <c r="K13" s="10"/>
      <c r="L13" s="11"/>
      <c r="M13" s="12"/>
    </row>
    <row r="14" spans="1:14">
      <c r="A14" s="5" t="s">
        <v>55</v>
      </c>
      <c r="B14" s="5"/>
      <c r="C14" s="10"/>
      <c r="D14" s="11"/>
      <c r="E14" s="12"/>
      <c r="G14" s="10"/>
      <c r="H14" s="11"/>
      <c r="I14" s="12"/>
      <c r="K14" s="10"/>
      <c r="L14" s="11"/>
      <c r="M14" s="12"/>
    </row>
    <row r="15" spans="1:14">
      <c r="A15" s="5" t="s">
        <v>56</v>
      </c>
      <c r="B15" s="5"/>
      <c r="C15" s="10" t="s">
        <v>29</v>
      </c>
      <c r="D15" s="11"/>
      <c r="E15" s="12"/>
      <c r="G15" s="10" t="s">
        <v>35</v>
      </c>
      <c r="H15" s="11"/>
      <c r="I15" s="12"/>
      <c r="K15" s="10"/>
      <c r="L15" s="11"/>
      <c r="M15" s="12"/>
    </row>
    <row r="16" spans="1:14">
      <c r="A16" s="5"/>
      <c r="B16" s="5"/>
      <c r="C16" s="13"/>
      <c r="D16" s="14"/>
      <c r="E16" s="15"/>
      <c r="G16" s="13"/>
      <c r="H16" s="14"/>
      <c r="I16" s="15"/>
      <c r="K16" s="13"/>
      <c r="L16" s="14"/>
      <c r="M16" s="15"/>
    </row>
    <row r="17" spans="1:8">
      <c r="A17" s="5"/>
      <c r="B17" s="5"/>
    </row>
    <row r="18" spans="1:8">
      <c r="A18" s="5"/>
      <c r="B18" s="5"/>
      <c r="C18" s="16" t="s">
        <v>31</v>
      </c>
      <c r="D18" s="33" t="s">
        <v>44</v>
      </c>
      <c r="E18" s="17"/>
    </row>
    <row r="19" spans="1:8">
      <c r="A19" s="5"/>
      <c r="B19" s="5"/>
      <c r="C19" s="18" t="s">
        <v>32</v>
      </c>
      <c r="D19" s="19"/>
      <c r="E19" s="20"/>
      <c r="H19" s="47"/>
    </row>
    <row r="20" spans="1:8">
      <c r="A20" s="5"/>
      <c r="B20" s="5"/>
      <c r="C20" s="18"/>
      <c r="D20" s="19"/>
      <c r="E20" s="20"/>
      <c r="H20" s="48"/>
    </row>
    <row r="21" spans="1:8">
      <c r="A21" s="5"/>
      <c r="B21" s="5"/>
      <c r="C21" s="18"/>
      <c r="D21" s="19"/>
      <c r="E21" s="20"/>
      <c r="H21" s="48"/>
    </row>
    <row r="22" spans="1:8">
      <c r="A22" s="5"/>
      <c r="B22" s="5"/>
      <c r="C22" s="21"/>
      <c r="D22" s="22"/>
      <c r="E22" s="23"/>
    </row>
    <row r="23" spans="1:8">
      <c r="A23" s="5"/>
      <c r="B23" s="5"/>
    </row>
    <row r="24" spans="1:8">
      <c r="A24" s="5"/>
      <c r="B24" s="5"/>
    </row>
    <row r="25" spans="1:8">
      <c r="A25" s="5"/>
      <c r="B25" s="5"/>
    </row>
    <row r="26" spans="1:8">
      <c r="A26" s="5"/>
      <c r="B26" s="5"/>
    </row>
    <row r="27" spans="1:8">
      <c r="A27" s="5"/>
      <c r="B27" s="5"/>
    </row>
    <row r="28" spans="1:8">
      <c r="A28" s="5"/>
      <c r="B28" s="5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CE68-11CB-4865-8394-50BD2069E1AA}">
  <dimension ref="B1:G20"/>
  <sheetViews>
    <sheetView workbookViewId="0">
      <selection activeCell="F8" sqref="F8"/>
    </sheetView>
  </sheetViews>
  <sheetFormatPr defaultRowHeight="18.75"/>
  <cols>
    <col min="1" max="16384" width="9" style="34"/>
  </cols>
  <sheetData>
    <row r="1" spans="2:7">
      <c r="C1" s="52"/>
      <c r="D1" s="52"/>
      <c r="E1" s="52"/>
    </row>
    <row r="2" spans="2:7">
      <c r="C2" s="52"/>
      <c r="D2" s="52"/>
      <c r="E2" s="52"/>
    </row>
    <row r="3" spans="2:7">
      <c r="C3" s="52"/>
      <c r="D3" s="52"/>
      <c r="E3" s="52"/>
    </row>
    <row r="4" spans="2:7">
      <c r="C4" s="53" t="s">
        <v>8</v>
      </c>
      <c r="D4" s="52"/>
      <c r="E4" s="53" t="s">
        <v>62</v>
      </c>
    </row>
    <row r="5" spans="2:7">
      <c r="C5" s="54"/>
      <c r="D5" s="52"/>
      <c r="E5" s="54"/>
    </row>
    <row r="7" spans="2:7">
      <c r="B7" s="34" t="s">
        <v>1</v>
      </c>
    </row>
    <row r="8" spans="2:7">
      <c r="D8" s="55" t="s">
        <v>25</v>
      </c>
      <c r="E8" s="55" t="s">
        <v>24</v>
      </c>
      <c r="G8" s="34" t="s">
        <v>26</v>
      </c>
    </row>
    <row r="10" spans="2:7">
      <c r="B10" s="34" t="s">
        <v>3</v>
      </c>
      <c r="C10" s="35"/>
      <c r="D10" s="36"/>
      <c r="E10" s="37"/>
    </row>
    <row r="12" spans="2:7">
      <c r="B12" s="34" t="s">
        <v>2</v>
      </c>
      <c r="C12" s="38" t="s">
        <v>33</v>
      </c>
    </row>
    <row r="14" spans="2:7">
      <c r="B14" s="34" t="s">
        <v>6</v>
      </c>
      <c r="C14" s="35"/>
      <c r="D14" s="36"/>
      <c r="E14" s="36"/>
      <c r="F14" s="37"/>
    </row>
    <row r="17" spans="2:6">
      <c r="B17" s="34" t="s">
        <v>43</v>
      </c>
      <c r="D17" s="39" t="s">
        <v>44</v>
      </c>
    </row>
    <row r="20" spans="2:6">
      <c r="C20" s="34" t="s">
        <v>27</v>
      </c>
      <c r="F20" s="34" t="s">
        <v>57</v>
      </c>
    </row>
  </sheetData>
  <mergeCells count="2">
    <mergeCell ref="C4:C5"/>
    <mergeCell ref="E4:E5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4580-74ED-4D94-9239-B2098EA617E7}">
  <dimension ref="A1:G20"/>
  <sheetViews>
    <sheetView workbookViewId="0">
      <selection activeCell="C23" sqref="C23"/>
    </sheetView>
  </sheetViews>
  <sheetFormatPr defaultRowHeight="18.75"/>
  <cols>
    <col min="1" max="16384" width="9" style="40"/>
  </cols>
  <sheetData>
    <row r="1" spans="1:7">
      <c r="A1" s="40" t="s">
        <v>10</v>
      </c>
    </row>
    <row r="3" spans="1:7" ht="30">
      <c r="B3" s="41"/>
    </row>
    <row r="7" spans="1:7">
      <c r="B7" s="40" t="s">
        <v>1</v>
      </c>
    </row>
    <row r="8" spans="1:7">
      <c r="C8" s="40" t="s">
        <v>25</v>
      </c>
      <c r="E8" s="40" t="s">
        <v>24</v>
      </c>
      <c r="G8" s="40" t="s">
        <v>26</v>
      </c>
    </row>
    <row r="10" spans="1:7">
      <c r="B10" s="40" t="s">
        <v>3</v>
      </c>
      <c r="C10" s="42"/>
      <c r="D10" s="43"/>
      <c r="E10" s="44"/>
    </row>
    <row r="12" spans="1:7">
      <c r="B12" s="40" t="s">
        <v>2</v>
      </c>
      <c r="C12" s="45" t="s">
        <v>33</v>
      </c>
    </row>
    <row r="14" spans="1:7">
      <c r="B14" s="40" t="s">
        <v>6</v>
      </c>
      <c r="C14" s="42"/>
      <c r="D14" s="43"/>
      <c r="E14" s="43"/>
      <c r="F14" s="44"/>
    </row>
    <row r="16" spans="1:7">
      <c r="B16" s="40" t="s">
        <v>43</v>
      </c>
      <c r="C16" s="46" t="s">
        <v>44</v>
      </c>
    </row>
    <row r="20" spans="3:3">
      <c r="C20" s="40" t="s">
        <v>27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E091-1D9B-41C9-9F2B-2277475BB36E}">
  <dimension ref="A1:M4"/>
  <sheetViews>
    <sheetView workbookViewId="0">
      <selection activeCell="D7" sqref="D7"/>
    </sheetView>
  </sheetViews>
  <sheetFormatPr defaultRowHeight="18.75"/>
  <sheetData>
    <row r="1" spans="1:13" ht="30">
      <c r="A1" s="1" t="s">
        <v>23</v>
      </c>
    </row>
    <row r="3" spans="1:13">
      <c r="C3" t="s">
        <v>8</v>
      </c>
      <c r="E3" t="s">
        <v>5</v>
      </c>
      <c r="F3" t="s">
        <v>7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15</v>
      </c>
    </row>
    <row r="4" spans="1:13">
      <c r="C4">
        <v>160000</v>
      </c>
      <c r="E4">
        <v>25000</v>
      </c>
      <c r="F4">
        <v>8500</v>
      </c>
      <c r="G4">
        <v>10000</v>
      </c>
      <c r="H4">
        <v>6000</v>
      </c>
      <c r="I4">
        <v>23000</v>
      </c>
      <c r="J4">
        <v>30000</v>
      </c>
      <c r="K4">
        <v>10000</v>
      </c>
      <c r="L4">
        <v>0</v>
      </c>
      <c r="M4">
        <f>C4-(E4+F4+G4+H4+I4+J4+K4)</f>
        <v>47500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AE5C-3D0E-4F7B-84B8-E3FFCE29A4DC}">
  <dimension ref="B2:M4"/>
  <sheetViews>
    <sheetView topLeftCell="B1" workbookViewId="0">
      <selection activeCell="E22" sqref="E22"/>
    </sheetView>
  </sheetViews>
  <sheetFormatPr defaultRowHeight="18.75"/>
  <sheetData>
    <row r="2" spans="2:13">
      <c r="B2" t="s">
        <v>38</v>
      </c>
      <c r="C2" s="25">
        <v>46113</v>
      </c>
      <c r="D2" s="25">
        <v>46116</v>
      </c>
      <c r="E2" s="25">
        <v>46118</v>
      </c>
      <c r="F2" s="25">
        <v>46123</v>
      </c>
      <c r="G2" s="25">
        <v>46124</v>
      </c>
      <c r="H2" s="25">
        <v>46125</v>
      </c>
      <c r="I2" s="25">
        <v>46126</v>
      </c>
      <c r="J2" s="25">
        <v>46127</v>
      </c>
      <c r="K2" s="25">
        <v>46131</v>
      </c>
      <c r="L2" s="25">
        <v>46132</v>
      </c>
      <c r="M2" s="25">
        <v>46134</v>
      </c>
    </row>
    <row r="3" spans="2:13">
      <c r="B3">
        <v>25000</v>
      </c>
      <c r="C3">
        <v>-200</v>
      </c>
      <c r="D3">
        <v>-4470</v>
      </c>
      <c r="E3">
        <v>6850</v>
      </c>
      <c r="F3">
        <v>160000</v>
      </c>
      <c r="G3">
        <v>-6200</v>
      </c>
      <c r="H3">
        <v>-1300</v>
      </c>
      <c r="I3">
        <v>-30000</v>
      </c>
      <c r="J3">
        <v>-1400</v>
      </c>
      <c r="K3">
        <v>-5800</v>
      </c>
      <c r="L3">
        <v>-23000</v>
      </c>
      <c r="M3">
        <v>-14000</v>
      </c>
    </row>
    <row r="4" spans="2:13">
      <c r="B4">
        <v>25000</v>
      </c>
      <c r="C4">
        <f>B4+C3</f>
        <v>24800</v>
      </c>
      <c r="D4">
        <f>C4+D3</f>
        <v>20330</v>
      </c>
      <c r="E4">
        <f t="shared" ref="E4:M4" si="0">D4+E3</f>
        <v>27180</v>
      </c>
      <c r="F4">
        <f t="shared" si="0"/>
        <v>187180</v>
      </c>
      <c r="G4">
        <f t="shared" si="0"/>
        <v>180980</v>
      </c>
      <c r="H4">
        <f t="shared" si="0"/>
        <v>179680</v>
      </c>
      <c r="I4">
        <f t="shared" si="0"/>
        <v>149680</v>
      </c>
      <c r="J4">
        <f t="shared" si="0"/>
        <v>148280</v>
      </c>
      <c r="K4">
        <f t="shared" si="0"/>
        <v>142480</v>
      </c>
      <c r="L4">
        <f t="shared" si="0"/>
        <v>119480</v>
      </c>
      <c r="M4">
        <f t="shared" si="0"/>
        <v>105480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8F84-91E3-4D12-B03B-8F9D37C3E9D9}">
  <dimension ref="A1:G21"/>
  <sheetViews>
    <sheetView tabSelected="1" workbookViewId="0">
      <selection activeCell="E5" sqref="E5"/>
    </sheetView>
  </sheetViews>
  <sheetFormatPr defaultRowHeight="18.75"/>
  <cols>
    <col min="2" max="2" width="15.25" bestFit="1" customWidth="1"/>
    <col min="3" max="3" width="9.25" bestFit="1" customWidth="1"/>
  </cols>
  <sheetData>
    <row r="1" spans="1:7">
      <c r="A1" t="s">
        <v>40</v>
      </c>
    </row>
    <row r="4" spans="1:7" ht="30">
      <c r="B4" s="27">
        <v>46113</v>
      </c>
    </row>
    <row r="8" spans="1:7">
      <c r="B8" t="s">
        <v>1</v>
      </c>
      <c r="D8" s="26">
        <v>46113</v>
      </c>
      <c r="G8" s="56"/>
    </row>
    <row r="9" spans="1:7">
      <c r="G9" s="56"/>
    </row>
    <row r="10" spans="1:7">
      <c r="B10" t="s">
        <v>2</v>
      </c>
      <c r="D10" t="s">
        <v>5</v>
      </c>
      <c r="G10" s="56"/>
    </row>
    <row r="11" spans="1:7">
      <c r="G11" s="56"/>
    </row>
    <row r="12" spans="1:7">
      <c r="B12" t="s">
        <v>3</v>
      </c>
      <c r="D12">
        <v>4700</v>
      </c>
      <c r="G12" s="56"/>
    </row>
    <row r="13" spans="1:7">
      <c r="G13" s="56"/>
    </row>
    <row r="14" spans="1:7">
      <c r="G14" s="56"/>
    </row>
    <row r="15" spans="1:7">
      <c r="B15" t="s">
        <v>6</v>
      </c>
      <c r="D15" t="s">
        <v>39</v>
      </c>
      <c r="G15" s="56"/>
    </row>
    <row r="16" spans="1:7">
      <c r="G16" s="56"/>
    </row>
    <row r="17" spans="2:7">
      <c r="G17" s="56"/>
    </row>
    <row r="18" spans="2:7">
      <c r="B18" t="s">
        <v>45</v>
      </c>
      <c r="D18" s="29" t="s">
        <v>44</v>
      </c>
      <c r="G18" s="56"/>
    </row>
    <row r="21" spans="2:7">
      <c r="B21" s="28" t="s">
        <v>42</v>
      </c>
      <c r="E21" t="s">
        <v>41</v>
      </c>
      <c r="G21" t="s">
        <v>57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ホーム画面</vt:lpstr>
      <vt:lpstr>支出入力</vt:lpstr>
      <vt:lpstr>収入入力</vt:lpstr>
      <vt:lpstr>カテゴリ別支出</vt:lpstr>
      <vt:lpstr>入出グラフ</vt:lpstr>
      <vt:lpstr>個別収支画面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2026-02-27T08:25:40Z</dcterms:modified>
</cp:coreProperties>
</file>